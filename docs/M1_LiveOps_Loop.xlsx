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op Config" sheetId="1" r:id="rId5"/>
    <sheet state="visible" name="Rotation Preview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Chu kỳ 1 vòng = Thời lượng + Cooldown</t>
      </text>
    </comment>
    <comment authorId="0" ref="F4">
      <text>
        <t xml:space="preserve">Số vòng ước tính trong 30 ngày (720h) = 720 / chu kỳ</t>
      </text>
    </comment>
  </commentList>
</comments>
</file>

<file path=xl/sharedStrings.xml><?xml version="1.0" encoding="utf-8"?>
<sst xmlns="http://schemas.openxmlformats.org/spreadsheetml/2006/main" count="103" uniqueCount="76">
  <si>
    <t>MERGE COOKING — LIVE-OPS LOOP SCHEDULER</t>
  </si>
  <si>
    <t>Event chạy loop theo chu kỳ (không gắn ngày cố định) • Chu kỳ = Thời lượng + Cooldown</t>
  </si>
  <si>
    <t>Event</t>
  </si>
  <si>
    <t>Loại</t>
  </si>
  <si>
    <t>Thời lượng (h)</t>
  </si>
  <si>
    <t>Cooldown (h)</t>
  </si>
  <si>
    <t>Chu kỳ 1 vòng (h)</t>
  </si>
  <si>
    <t>Số vòng / tháng</t>
  </si>
  <si>
    <t>Phần thưởng</t>
  </si>
  <si>
    <t>Điểm kiếm tiền</t>
  </si>
  <si>
    <t>Trạng thái</t>
  </si>
  <si>
    <t>Ghi chú</t>
  </si>
  <si>
    <t>Event Collection</t>
  </si>
  <si>
    <t>Collection</t>
  </si>
  <si>
    <t>108 thẻ → Grand Reward; thưởng mỗi bộ 9 thẻ</t>
  </si>
  <si>
    <t>Gián tiếp — pack từ gameplay</t>
  </si>
  <si>
    <t>Active</t>
  </si>
  <si>
    <t>Reset album theo mùa/30 ngày. Gom thẻ từ chính các event bên dưới.</t>
  </si>
  <si>
    <t>Fortune Meets Cookie</t>
  </si>
  <si>
    <t>Mini Game</t>
  </si>
  <si>
    <t>Quà theo 8 màn (item + money)</t>
  </si>
  <si>
    <t>Gói bán thêm token để người chơi chơi event</t>
  </si>
  <si>
    <t>Hidden object: gắp bánh quy tìm Mũ đầu bếp. Đũa từ order; đũa dư đổi skip-time.</t>
  </si>
  <si>
    <t>Petal Plate Party</t>
  </si>
  <si>
    <t>Quà theo 10 stage (item + money)</t>
  </si>
  <si>
    <t>Gói bán Smash All</t>
  </si>
  <si>
    <t>Grid hidden object: dùng Búa phá băng tìm nguyên liệu nấu 10 món, grid 3x3→6x6. Búa từ order. Smash All bán trong gói event.</t>
  </si>
  <si>
    <t>Dora's Toy Party</t>
  </si>
  <si>
    <t>Gold/booster/gem theo cấp merge; hộp collection</t>
  </si>
  <si>
    <t>Gói bán Bonus Gift</t>
  </si>
  <si>
    <t>Merge board 6x8 riêng, 12 cấp vật phẩm chính. Rate rơi lv1 70%/lv2 20%/lv3 10%. Art: trang sức đá quý, búp bê.</t>
  </si>
  <si>
    <t>Pizza Tower Race</t>
  </si>
  <si>
    <t>Race</t>
  </si>
  <si>
    <t>Booster + quà random (top 3)</t>
  </si>
  <si>
    <t>-</t>
  </si>
  <si>
    <t>Đua 5 người, 5 round token tăng dần (4/5/9/14/16). Có bot.</t>
  </si>
  <si>
    <t>Speed Feast Race</t>
  </si>
  <si>
    <t>Booster + quà random (top 3 mỗi round)</t>
  </si>
  <si>
    <t>Đua 5 người, 5 round token tăng dần. Có bot.</t>
  </si>
  <si>
    <t>Clash of Cakes</t>
  </si>
  <si>
    <t>Booster + quà top rank</t>
  </si>
  <si>
    <t>Draft</t>
  </si>
  <si>
    <t xml:space="preserve">ROTATION — 30 NGÀY </t>
  </si>
  <si>
    <t>Bản chất là loop, đây chỉ là ảnh chụp 30 ngày để thấy nhịp. Sau đó lặp lại từ đầu.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</si>
  <si>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</si>
  <si>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</si>
  <si>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</si>
  <si>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</si>
  <si>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</si>
  <si>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</si>
  <si>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</si>
  <si>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</si>
  <si>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</si>
  <si>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</si>
  <si>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</si>
  <si>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</si>
  <si>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</si>
  <si>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</si>
  <si>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</si>
  <si>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</si>
  <si>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</si>
  <si>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</si>
  <si>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</si>
  <si>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</si>
  <si>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</si>
  <si>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</si>
  <si>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</si>
  <si>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</si>
  <si>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</si>
  <si>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</si>
  <si>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</si>
  <si>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</si>
  <si>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</si>
  <si>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</si>
  <si>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⟳ Hết 30 ngày → lặp lại nhịp trên</t>
  </si>
  <si>
    <t>Quy tắc: KHÔNG mở 2 event ĐUA (Race) cùng lúc. Khác loại được chạy song song.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</si>
</sst>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;;;"/>
  </numFmts>
  <fonts count="16">
    <font>
      <sz val="11.0"/>
      <color theme="1"/>
      <name val="Calibri"/>
      <scheme val="minor"/>
    </font>
    <font>
      <b/>
      <sz val="15.0"/>
      <color rgb="FFFFFFFF"/>
      <name val="Arial"/>
    </font>
    <font/>
    <font>
      <i/>
      <sz val="9.0"/>
      <color rgb="FFFFFFFF"/>
      <name val="Arial"/>
    </font>
    <font>
      <b/>
      <sz val="10.0"/>
      <color rgb="FFFFFFFF"/>
      <name val="Arial"/>
    </font>
    <font>
      <sz val="9.0"/>
      <color rgb="FF2B2B2B"/>
      <name val="Arial"/>
    </font>
    <font>
      <b/>
      <sz val="9.0"/>
      <color rgb="FFFFFFFF"/>
      <name val="Arial"/>
    </font>
    <font>
      <b/>
      <sz val="14.0"/>
      <color rgb="FFFFFFFF"/>
      <name val="Arial"/>
    </font>
    <font>
      <i/>
      <sz val="8.0"/>
      <color rgb="FF6B7280"/>
      <name val="Arial"/>
    </font>
    <font>
      <b/>
      <sz val="7.0"/>
      <color rgb="FFFFFFFF"/>
      <name val="Arial"/>
    </font>
    <font>
      <sz val="8.0"/>
      <color rgb="FF2B2B2B"/>
      <name val="Arial"/>
    </font>
    <font>
      <b/>
      <sz val="8.0"/>
      <color rgb="FFFFFFFF"/>
      <name val="Arial"/>
    </font>
    <font>
      <sz val="11.0"/>
      <color theme="1"/>
      <name val="Calibri"/>
    </font>
    <font>
      <color theme="1"/>
      <name val="Calibri"/>
      <scheme val="minor"/>
    </font>
    <font>
      <b/>
      <sz val="9.0"/>
      <color rgb="FF1F3A5F"/>
      <name val="Arial"/>
    </font>
    <font>
      <i/>
      <sz val="9.0"/>
      <color rgb="FF6B728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4A6FA5"/>
        <bgColor rgb="FF4A6FA5"/>
      </patternFill>
    </fill>
    <fill>
      <patternFill patternType="solid">
        <fgColor rgb="FFEEF2F7"/>
        <bgColor rgb="FFEEF2F7"/>
      </patternFill>
    </fill>
    <fill>
      <patternFill patternType="solid">
        <fgColor rgb="FF7B6C9B"/>
        <bgColor rgb="FF7B6C9B"/>
      </patternFill>
    </fill>
    <fill>
      <patternFill patternType="solid">
        <fgColor rgb="FFF7F9FC"/>
        <bgColor rgb="FFF7F9FC"/>
      </patternFill>
    </fill>
    <fill>
      <patternFill patternType="solid">
        <fgColor rgb="FF4C956C"/>
        <bgColor rgb="FF4C956C"/>
      </patternFill>
    </fill>
    <fill>
      <patternFill patternType="solid">
        <fgColor rgb="FF3A6EA5"/>
        <bgColor rgb="FF3A6EA5"/>
      </patternFill>
    </fill>
    <fill>
      <patternFill patternType="solid">
        <fgColor rgb="FFD08C60"/>
        <bgColor rgb="FFD08C60"/>
      </patternFill>
    </fill>
    <fill>
      <patternFill patternType="solid">
        <fgColor rgb="FF4C946E"/>
        <bgColor rgb="FF4C946E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</border>
    <border>
      <left style="thin">
        <color rgb="FFD0D7E2"/>
      </left>
      <right style="thin">
        <color rgb="FFD0D7E2"/>
      </right>
      <top style="thin">
        <color rgb="FFD0D7E2"/>
      </top>
    </border>
    <border>
      <left style="thin">
        <color rgb="FFD0D7E2"/>
      </left>
      <top style="thin">
        <color rgb="FFD0D7E2"/>
      </top>
      <bottom style="thin">
        <color rgb="FFD0D7E2"/>
      </bottom>
    </border>
    <border>
      <left style="thin">
        <color rgb="FFD1D7E1"/>
      </left>
      <right style="thin">
        <color rgb="FFD1D7E1"/>
      </right>
      <top style="thin">
        <color rgb="FFD1D7E1"/>
      </top>
      <bottom style="thin">
        <color rgb="FFD1D7E1"/>
      </bottom>
    </border>
    <border>
      <right style="thin">
        <color rgb="FFD0D7E2"/>
      </right>
      <top style="thin">
        <color rgb="FFD0D7E2"/>
      </top>
      <bottom style="thin">
        <color rgb="FFD0D7E2"/>
      </bottom>
    </border>
    <border>
      <left style="thin">
        <color rgb="FFD0D7E2"/>
      </left>
      <right style="thin">
        <color rgb="FFD0D7E2"/>
      </right>
      <bottom style="thin">
        <color rgb="FFD0D7E2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0"/>
    </xf>
    <xf borderId="4" fillId="2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left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left" readingOrder="0" shrinkToFit="0" vertical="center" wrapText="1"/>
    </xf>
    <xf borderId="4" fillId="6" fontId="5" numFmtId="0" xfId="0" applyAlignment="1" applyBorder="1" applyFill="1" applyFont="1">
      <alignment horizontal="left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4" fillId="6" fontId="5" numFmtId="0" xfId="0" applyAlignment="1" applyBorder="1" applyFont="1">
      <alignment horizontal="center" readingOrder="0" shrinkToFit="0" vertical="center" wrapText="1"/>
    </xf>
    <xf borderId="4" fillId="6" fontId="5" numFmtId="0" xfId="0" applyAlignment="1" applyBorder="1" applyFont="1">
      <alignment horizontal="left" readingOrder="0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8" fontId="6" numFmtId="0" xfId="0" applyAlignment="1" applyBorder="1" applyFill="1" applyFont="1">
      <alignment horizontal="center" shrinkToFit="0" vertical="center" wrapText="1"/>
    </xf>
    <xf borderId="4" fillId="9" fontId="6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ont="1">
      <alignment horizontal="left" readingOrder="0" shrinkToFit="0" vertical="center" wrapText="0"/>
    </xf>
    <xf borderId="0" fillId="0" fontId="8" numFmtId="0" xfId="0" applyAlignment="1" applyFont="1">
      <alignment horizontal="left" shrinkToFit="0" vertical="bottom" wrapText="0"/>
    </xf>
    <xf borderId="4" fillId="3" fontId="9" numFmtId="0" xfId="0" applyAlignment="1" applyBorder="1" applyFont="1">
      <alignment horizontal="center" shrinkToFit="0" vertical="center" wrapText="1"/>
    </xf>
    <xf borderId="4" fillId="4" fontId="10" numFmtId="0" xfId="0" applyAlignment="1" applyBorder="1" applyFont="1">
      <alignment horizontal="left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5" fillId="5" fontId="12" numFmtId="164" xfId="0" applyAlignment="1" applyBorder="1" applyFont="1" applyNumberFormat="1">
      <alignment shrinkToFit="0" vertical="bottom" wrapText="0"/>
    </xf>
    <xf borderId="4" fillId="5" fontId="12" numFmtId="164" xfId="0" applyAlignment="1" applyBorder="1" applyFont="1" applyNumberFormat="1">
      <alignment shrinkToFit="0" vertical="bottom" wrapText="0"/>
    </xf>
    <xf borderId="4" fillId="6" fontId="10" numFmtId="0" xfId="0" applyAlignment="1" applyBorder="1" applyFont="1">
      <alignment horizontal="left" shrinkToFit="0" vertical="center" wrapText="1"/>
    </xf>
    <xf borderId="6" fillId="7" fontId="11" numFmtId="0" xfId="0" applyAlignment="1" applyBorder="1" applyFont="1">
      <alignment horizontal="center" shrinkToFit="0" vertical="center" wrapText="1"/>
    </xf>
    <xf borderId="7" fillId="4" fontId="13" numFmtId="0" xfId="0" applyBorder="1" applyFont="1"/>
    <xf borderId="7" fillId="4" fontId="12" numFmtId="164" xfId="0" applyAlignment="1" applyBorder="1" applyFont="1" applyNumberFormat="1">
      <alignment shrinkToFit="0" vertical="bottom" wrapText="0"/>
    </xf>
    <xf borderId="7" fillId="4" fontId="12" numFmtId="0" xfId="0" applyAlignment="1" applyBorder="1" applyFont="1">
      <alignment shrinkToFit="0" vertical="bottom" wrapText="0"/>
    </xf>
    <xf borderId="4" fillId="7" fontId="12" numFmtId="164" xfId="0" applyAlignment="1" applyBorder="1" applyFont="1" applyNumberFormat="1">
      <alignment shrinkToFit="0" vertical="bottom" wrapText="0"/>
    </xf>
    <xf borderId="8" fillId="7" fontId="12" numFmtId="164" xfId="0" applyAlignment="1" applyBorder="1" applyFont="1" applyNumberFormat="1">
      <alignment shrinkToFit="0" vertical="bottom" wrapText="0"/>
    </xf>
    <xf borderId="4" fillId="4" fontId="12" numFmtId="0" xfId="0" applyAlignment="1" applyBorder="1" applyFont="1">
      <alignment shrinkToFit="0" vertical="bottom" wrapText="0"/>
    </xf>
    <xf borderId="4" fillId="7" fontId="11" numFmtId="0" xfId="0" applyAlignment="1" applyBorder="1" applyFont="1">
      <alignment horizontal="center" shrinkToFit="0" vertical="center" wrapText="1"/>
    </xf>
    <xf borderId="9" fillId="7" fontId="12" numFmtId="164" xfId="0" applyAlignment="1" applyBorder="1" applyFont="1" applyNumberFormat="1">
      <alignment shrinkToFit="0" vertical="bottom" wrapText="0"/>
    </xf>
    <xf borderId="9" fillId="10" fontId="12" numFmtId="0" xfId="0" applyAlignment="1" applyBorder="1" applyFill="1" applyFont="1">
      <alignment shrinkToFit="0" vertical="bottom" wrapText="0"/>
    </xf>
    <xf borderId="4" fillId="6" fontId="12" numFmtId="0" xfId="0" applyAlignment="1" applyBorder="1" applyFont="1">
      <alignment shrinkToFit="0" vertical="bottom" wrapText="0"/>
    </xf>
    <xf borderId="4" fillId="8" fontId="11" numFmtId="0" xfId="0" applyAlignment="1" applyBorder="1" applyFont="1">
      <alignment horizontal="center" shrinkToFit="0" vertical="center" wrapText="1"/>
    </xf>
    <xf borderId="4" fillId="8" fontId="12" numFmtId="164" xfId="0" applyAlignment="1" applyBorder="1" applyFont="1" applyNumberFormat="1">
      <alignment shrinkToFit="0" vertical="bottom" wrapText="0"/>
    </xf>
    <xf borderId="4" fillId="9" fontId="11" numFmtId="0" xfId="0" applyAlignment="1" applyBorder="1" applyFont="1">
      <alignment horizontal="center" shrinkToFit="0" vertical="center" wrapText="1"/>
    </xf>
    <xf borderId="4" fillId="9" fontId="12" numFmtId="0" xfId="0" applyAlignment="1" applyBorder="1" applyFont="1">
      <alignment shrinkToFit="0" vertical="bottom" wrapText="0"/>
    </xf>
    <xf borderId="4" fillId="9" fontId="12" numFmtId="164" xfId="0" applyAlignment="1" applyBorder="1" applyFont="1" applyNumberForma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12.0"/>
    <col customWidth="1" min="3" max="3" width="13.0"/>
    <col customWidth="1" min="4" max="4" width="12.0"/>
    <col customWidth="1" min="5" max="6" width="14.0"/>
    <col customWidth="1" min="7" max="7" width="26.0"/>
    <col customWidth="1" min="8" max="8" width="20.0"/>
    <col customWidth="1" min="9" max="9" width="11.0"/>
    <col customWidth="1" min="10" max="10" width="48.0"/>
    <col customWidth="1" min="11" max="23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6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</row>
    <row r="4" ht="30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ht="49.5" customHeight="1">
      <c r="A5" s="6" t="s">
        <v>12</v>
      </c>
      <c r="B5" s="7" t="s">
        <v>13</v>
      </c>
      <c r="C5" s="8">
        <v>720.0</v>
      </c>
      <c r="D5" s="8">
        <v>0.0</v>
      </c>
      <c r="E5" s="8">
        <f t="shared" ref="E5:E19" si="1">C5+D5</f>
        <v>720</v>
      </c>
      <c r="F5" s="8">
        <f>IF(E5&gt;0,ROUND(720/E5,1),"∞")</f>
        <v>1</v>
      </c>
      <c r="G5" s="6" t="s">
        <v>14</v>
      </c>
      <c r="H5" s="6" t="s">
        <v>15</v>
      </c>
      <c r="I5" s="8" t="s">
        <v>16</v>
      </c>
      <c r="J5" s="9" t="s">
        <v>17</v>
      </c>
    </row>
    <row r="6" ht="49.5" customHeight="1">
      <c r="A6" s="10" t="s">
        <v>18</v>
      </c>
      <c r="B6" s="11" t="s">
        <v>19</v>
      </c>
      <c r="C6" s="12">
        <v>72.0</v>
      </c>
      <c r="D6" s="13">
        <f>12*24</f>
        <v>288</v>
      </c>
      <c r="E6" s="12">
        <f t="shared" si="1"/>
        <v>360</v>
      </c>
      <c r="F6" s="13">
        <v>2.0</v>
      </c>
      <c r="G6" s="10" t="s">
        <v>20</v>
      </c>
      <c r="H6" s="14" t="s">
        <v>21</v>
      </c>
      <c r="I6" s="12" t="s">
        <v>16</v>
      </c>
      <c r="J6" s="10" t="s">
        <v>22</v>
      </c>
    </row>
    <row r="7" ht="49.5" customHeight="1">
      <c r="A7" s="6" t="s">
        <v>23</v>
      </c>
      <c r="B7" s="11" t="s">
        <v>19</v>
      </c>
      <c r="C7" s="8">
        <v>96.0</v>
      </c>
      <c r="D7" s="8">
        <f>11*24</f>
        <v>264</v>
      </c>
      <c r="E7" s="8">
        <f t="shared" si="1"/>
        <v>360</v>
      </c>
      <c r="F7" s="15">
        <v>2.0</v>
      </c>
      <c r="G7" s="6" t="s">
        <v>24</v>
      </c>
      <c r="H7" s="14" t="s">
        <v>25</v>
      </c>
      <c r="I7" s="8" t="s">
        <v>16</v>
      </c>
      <c r="J7" s="6" t="s">
        <v>26</v>
      </c>
    </row>
    <row r="8" ht="49.5" customHeight="1">
      <c r="A8" s="10" t="s">
        <v>27</v>
      </c>
      <c r="B8" s="11" t="s">
        <v>19</v>
      </c>
      <c r="C8" s="12">
        <v>168.0</v>
      </c>
      <c r="D8" s="12">
        <f>8*24</f>
        <v>192</v>
      </c>
      <c r="E8" s="12">
        <f t="shared" si="1"/>
        <v>360</v>
      </c>
      <c r="F8" s="13">
        <v>2.0</v>
      </c>
      <c r="G8" s="10" t="s">
        <v>28</v>
      </c>
      <c r="H8" s="14" t="s">
        <v>29</v>
      </c>
      <c r="I8" s="12" t="s">
        <v>16</v>
      </c>
      <c r="J8" s="10" t="s">
        <v>30</v>
      </c>
    </row>
    <row r="9" ht="49.5" customHeight="1">
      <c r="A9" s="6" t="s">
        <v>31</v>
      </c>
      <c r="B9" s="16" t="s">
        <v>32</v>
      </c>
      <c r="C9" s="8">
        <v>72.0</v>
      </c>
      <c r="D9" s="8">
        <f t="shared" ref="D9:D10" si="2">4*24</f>
        <v>96</v>
      </c>
      <c r="E9" s="8">
        <f t="shared" si="1"/>
        <v>168</v>
      </c>
      <c r="F9" s="15">
        <v>4.0</v>
      </c>
      <c r="G9" s="6" t="s">
        <v>33</v>
      </c>
      <c r="H9" s="6" t="s">
        <v>34</v>
      </c>
      <c r="I9" s="8" t="s">
        <v>16</v>
      </c>
      <c r="J9" s="6" t="s">
        <v>35</v>
      </c>
    </row>
    <row r="10" ht="49.5" customHeight="1">
      <c r="A10" s="10" t="s">
        <v>36</v>
      </c>
      <c r="B10" s="16" t="s">
        <v>32</v>
      </c>
      <c r="C10" s="12">
        <v>72.0</v>
      </c>
      <c r="D10" s="13">
        <f t="shared" si="2"/>
        <v>96</v>
      </c>
      <c r="E10" s="12">
        <f t="shared" si="1"/>
        <v>168</v>
      </c>
      <c r="F10" s="13">
        <v>4.0</v>
      </c>
      <c r="G10" s="10" t="s">
        <v>37</v>
      </c>
      <c r="H10" s="10" t="s">
        <v>34</v>
      </c>
      <c r="I10" s="12" t="s">
        <v>16</v>
      </c>
      <c r="J10" s="9" t="s">
        <v>38</v>
      </c>
    </row>
    <row r="11" ht="49.5" customHeight="1">
      <c r="A11" s="6" t="s">
        <v>39</v>
      </c>
      <c r="B11" s="17" t="s">
        <v>2</v>
      </c>
      <c r="C11" s="8">
        <v>72.0</v>
      </c>
      <c r="D11" s="8">
        <f>5*24</f>
        <v>120</v>
      </c>
      <c r="E11" s="8">
        <f t="shared" si="1"/>
        <v>192</v>
      </c>
      <c r="F11" s="15">
        <v>4.0</v>
      </c>
      <c r="G11" s="6" t="s">
        <v>40</v>
      </c>
      <c r="H11" s="6" t="s">
        <v>34</v>
      </c>
      <c r="I11" s="8" t="s">
        <v>41</v>
      </c>
      <c r="J11" s="6"/>
    </row>
    <row r="12" ht="21.75" customHeight="1">
      <c r="A12" s="10"/>
      <c r="B12" s="12"/>
      <c r="C12" s="12"/>
      <c r="D12" s="12"/>
      <c r="E12" s="12">
        <f t="shared" si="1"/>
        <v>0</v>
      </c>
      <c r="F12" s="12" t="str">
        <f t="shared" ref="F12:F19" si="3">IF(E12&gt;0,ROUND(720/E12,1),"")</f>
        <v/>
      </c>
      <c r="G12" s="10"/>
      <c r="H12" s="10"/>
      <c r="I12" s="12"/>
      <c r="J12" s="10"/>
    </row>
    <row r="13" ht="21.75" customHeight="1">
      <c r="A13" s="6"/>
      <c r="B13" s="8"/>
      <c r="C13" s="8"/>
      <c r="D13" s="8"/>
      <c r="E13" s="8">
        <f t="shared" si="1"/>
        <v>0</v>
      </c>
      <c r="F13" s="8" t="str">
        <f t="shared" si="3"/>
        <v/>
      </c>
      <c r="G13" s="6"/>
      <c r="H13" s="6"/>
      <c r="I13" s="8"/>
      <c r="J13" s="6"/>
    </row>
    <row r="14" ht="21.75" customHeight="1">
      <c r="A14" s="10"/>
      <c r="B14" s="12"/>
      <c r="C14" s="12"/>
      <c r="D14" s="12"/>
      <c r="E14" s="12">
        <f t="shared" si="1"/>
        <v>0</v>
      </c>
      <c r="F14" s="12" t="str">
        <f t="shared" si="3"/>
        <v/>
      </c>
      <c r="G14" s="10"/>
      <c r="H14" s="10"/>
      <c r="I14" s="12"/>
      <c r="J14" s="10"/>
    </row>
    <row r="15" ht="21.75" customHeight="1">
      <c r="A15" s="6"/>
      <c r="B15" s="8"/>
      <c r="C15" s="8"/>
      <c r="D15" s="8"/>
      <c r="E15" s="8">
        <f t="shared" si="1"/>
        <v>0</v>
      </c>
      <c r="F15" s="8" t="str">
        <f t="shared" si="3"/>
        <v/>
      </c>
      <c r="G15" s="6"/>
      <c r="H15" s="6"/>
      <c r="I15" s="8"/>
      <c r="J15" s="6"/>
    </row>
    <row r="16" ht="21.75" customHeight="1">
      <c r="A16" s="10"/>
      <c r="B16" s="12"/>
      <c r="C16" s="12"/>
      <c r="D16" s="12"/>
      <c r="E16" s="12">
        <f t="shared" si="1"/>
        <v>0</v>
      </c>
      <c r="F16" s="12" t="str">
        <f t="shared" si="3"/>
        <v/>
      </c>
      <c r="G16" s="10"/>
      <c r="H16" s="10"/>
      <c r="I16" s="12"/>
      <c r="J16" s="10"/>
    </row>
    <row r="17" ht="21.75" customHeight="1">
      <c r="A17" s="6"/>
      <c r="B17" s="8"/>
      <c r="C17" s="8"/>
      <c r="D17" s="8"/>
      <c r="E17" s="8">
        <f t="shared" si="1"/>
        <v>0</v>
      </c>
      <c r="F17" s="8" t="str">
        <f t="shared" si="3"/>
        <v/>
      </c>
      <c r="G17" s="6"/>
      <c r="H17" s="6"/>
      <c r="I17" s="8"/>
      <c r="J17" s="6"/>
    </row>
    <row r="18" ht="21.75" customHeight="1">
      <c r="A18" s="10"/>
      <c r="B18" s="12"/>
      <c r="C18" s="12"/>
      <c r="D18" s="12"/>
      <c r="E18" s="12">
        <f t="shared" si="1"/>
        <v>0</v>
      </c>
      <c r="F18" s="12" t="str">
        <f t="shared" si="3"/>
        <v/>
      </c>
      <c r="G18" s="10"/>
      <c r="H18" s="10"/>
      <c r="I18" s="12"/>
      <c r="J18" s="10"/>
    </row>
    <row r="19" ht="21.75" customHeight="1">
      <c r="A19" s="6"/>
      <c r="B19" s="8"/>
      <c r="C19" s="8"/>
      <c r="D19" s="8"/>
      <c r="E19" s="8">
        <f t="shared" si="1"/>
        <v>0</v>
      </c>
      <c r="F19" s="8" t="str">
        <f t="shared" si="3"/>
        <v/>
      </c>
      <c r="G19" s="6"/>
      <c r="H19" s="6"/>
      <c r="I19" s="8"/>
      <c r="J19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dataValidations>
    <dataValidation type="list" allowBlank="1" sqref="B5:B19">
      <formula1>"Mini Game,Race,Collection,Event"</formula1>
    </dataValidation>
    <dataValidation type="list" allowBlank="1" sqref="I5:I19">
      <formula1>"Active,Paused,Draft,Retired"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20.0"/>
    <col customWidth="1" min="2" max="2" width="12.0"/>
    <col customWidth="1" min="3" max="32" width="3.57"/>
  </cols>
  <sheetData>
    <row r="1" ht="24.0" customHeight="1">
      <c r="A1" s="18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>
      <c r="A2" s="19" t="s">
        <v>43</v>
      </c>
    </row>
    <row r="4" ht="15.75" customHeight="1">
      <c r="A4" s="5" t="s">
        <v>2</v>
      </c>
      <c r="B4" s="5" t="s">
        <v>3</v>
      </c>
      <c r="C4" s="20" t="s">
        <v>44</v>
      </c>
      <c r="D4" s="20" t="s">
        <v>45</v>
      </c>
      <c r="E4" s="20" t="s">
        <v>46</v>
      </c>
      <c r="F4" s="20" t="s">
        <v>47</v>
      </c>
      <c r="G4" s="20" t="s">
        <v>48</v>
      </c>
      <c r="H4" s="20" t="s">
        <v>49</v>
      </c>
      <c r="I4" s="20" t="s">
        <v>50</v>
      </c>
      <c r="J4" s="20" t="s">
        <v>51</v>
      </c>
      <c r="K4" s="20" t="s">
        <v>52</v>
      </c>
      <c r="L4" s="20" t="s">
        <v>53</v>
      </c>
      <c r="M4" s="20" t="s">
        <v>54</v>
      </c>
      <c r="N4" s="20" t="s">
        <v>55</v>
      </c>
      <c r="O4" s="20" t="s">
        <v>56</v>
      </c>
      <c r="P4" s="20" t="s">
        <v>57</v>
      </c>
      <c r="Q4" s="20" t="s">
        <v>58</v>
      </c>
      <c r="R4" s="20" t="s">
        <v>59</v>
      </c>
      <c r="S4" s="20" t="s">
        <v>60</v>
      </c>
      <c r="T4" s="20" t="s">
        <v>61</v>
      </c>
      <c r="U4" s="20" t="s">
        <v>62</v>
      </c>
      <c r="V4" s="20" t="s">
        <v>63</v>
      </c>
      <c r="W4" s="20" t="s">
        <v>64</v>
      </c>
      <c r="X4" s="20" t="s">
        <v>65</v>
      </c>
      <c r="Y4" s="20" t="s">
        <v>66</v>
      </c>
      <c r="Z4" s="20" t="s">
        <v>67</v>
      </c>
      <c r="AA4" s="20" t="s">
        <v>68</v>
      </c>
      <c r="AB4" s="20" t="s">
        <v>69</v>
      </c>
      <c r="AC4" s="20" t="s">
        <v>70</v>
      </c>
      <c r="AD4" s="20" t="s">
        <v>71</v>
      </c>
      <c r="AE4" s="20" t="s">
        <v>72</v>
      </c>
      <c r="AF4" s="20" t="s">
        <v>73</v>
      </c>
    </row>
    <row r="5" ht="19.5" customHeight="1">
      <c r="A5" s="21" t="s">
        <v>12</v>
      </c>
      <c r="B5" s="22" t="s">
        <v>13</v>
      </c>
      <c r="C5" s="23">
        <v>1.0</v>
      </c>
      <c r="D5" s="23">
        <v>1.0</v>
      </c>
      <c r="E5" s="23">
        <v>1.0</v>
      </c>
      <c r="F5" s="23">
        <v>1.0</v>
      </c>
      <c r="G5" s="23">
        <v>1.0</v>
      </c>
      <c r="H5" s="23">
        <v>1.0</v>
      </c>
      <c r="I5" s="23">
        <v>1.0</v>
      </c>
      <c r="J5" s="24">
        <v>1.0</v>
      </c>
      <c r="K5" s="24">
        <v>1.0</v>
      </c>
      <c r="L5" s="24">
        <v>1.0</v>
      </c>
      <c r="M5" s="24">
        <v>1.0</v>
      </c>
      <c r="N5" s="24">
        <v>1.0</v>
      </c>
      <c r="O5" s="24">
        <v>1.0</v>
      </c>
      <c r="P5" s="24">
        <v>1.0</v>
      </c>
      <c r="Q5" s="24">
        <v>1.0</v>
      </c>
      <c r="R5" s="24">
        <v>1.0</v>
      </c>
      <c r="S5" s="24">
        <v>1.0</v>
      </c>
      <c r="T5" s="24">
        <v>1.0</v>
      </c>
      <c r="U5" s="24">
        <v>1.0</v>
      </c>
      <c r="V5" s="24">
        <v>1.0</v>
      </c>
      <c r="W5" s="24">
        <v>1.0</v>
      </c>
      <c r="X5" s="24">
        <v>1.0</v>
      </c>
      <c r="Y5" s="24">
        <v>1.0</v>
      </c>
      <c r="Z5" s="24">
        <v>1.0</v>
      </c>
      <c r="AA5" s="24">
        <v>1.0</v>
      </c>
      <c r="AB5" s="24">
        <v>1.0</v>
      </c>
      <c r="AC5" s="24">
        <v>1.0</v>
      </c>
      <c r="AD5" s="24">
        <v>1.0</v>
      </c>
      <c r="AE5" s="24">
        <v>1.0</v>
      </c>
      <c r="AF5" s="24">
        <v>1.0</v>
      </c>
    </row>
    <row r="6" ht="19.5" customHeight="1">
      <c r="A6" s="25" t="s">
        <v>18</v>
      </c>
      <c r="B6" s="26" t="s">
        <v>19</v>
      </c>
      <c r="C6" s="27"/>
      <c r="D6" s="28">
        <v>1.0</v>
      </c>
      <c r="E6" s="28">
        <v>1.0</v>
      </c>
      <c r="F6" s="28">
        <v>1.0</v>
      </c>
      <c r="G6" s="29"/>
      <c r="H6" s="29"/>
      <c r="I6" s="29"/>
      <c r="J6" s="27"/>
      <c r="K6" s="28">
        <v>1.0</v>
      </c>
      <c r="L6" s="28">
        <v>1.0</v>
      </c>
      <c r="M6" s="28">
        <v>1.0</v>
      </c>
      <c r="N6" s="30">
        <v>1.0</v>
      </c>
      <c r="O6" s="30">
        <v>1.0</v>
      </c>
      <c r="P6" s="30">
        <v>1.0</v>
      </c>
      <c r="Q6" s="27"/>
      <c r="R6" s="28">
        <v>1.0</v>
      </c>
      <c r="S6" s="28">
        <v>1.0</v>
      </c>
      <c r="T6" s="28">
        <v>1.0</v>
      </c>
      <c r="U6" s="29"/>
      <c r="V6" s="29"/>
      <c r="W6" s="29"/>
      <c r="X6" s="27"/>
      <c r="Y6" s="28">
        <v>1.0</v>
      </c>
      <c r="Z6" s="28">
        <v>1.0</v>
      </c>
      <c r="AA6" s="28">
        <v>1.0</v>
      </c>
      <c r="AB6" s="28">
        <v>1.0</v>
      </c>
      <c r="AC6" s="30">
        <v>1.0</v>
      </c>
      <c r="AD6" s="30">
        <v>1.0</v>
      </c>
      <c r="AE6" s="30">
        <v>1.0</v>
      </c>
      <c r="AF6" s="28">
        <v>1.0</v>
      </c>
    </row>
    <row r="7" ht="19.5" customHeight="1">
      <c r="A7" s="21" t="s">
        <v>23</v>
      </c>
      <c r="B7" s="26" t="s">
        <v>19</v>
      </c>
      <c r="C7" s="29"/>
      <c r="D7" s="29"/>
      <c r="E7" s="29"/>
      <c r="F7" s="29"/>
      <c r="G7" s="29"/>
      <c r="H7" s="27"/>
      <c r="I7" s="27"/>
      <c r="J7" s="31">
        <v>1.0</v>
      </c>
      <c r="K7" s="30">
        <v>1.0</v>
      </c>
      <c r="L7" s="30">
        <v>1.0</v>
      </c>
      <c r="M7" s="30">
        <v>1.0</v>
      </c>
      <c r="N7" s="32"/>
      <c r="O7" s="32"/>
      <c r="P7" s="32"/>
      <c r="Q7" s="28">
        <v>1.0</v>
      </c>
      <c r="R7" s="32"/>
      <c r="S7" s="32"/>
      <c r="T7" s="28">
        <v>1.0</v>
      </c>
      <c r="U7" s="28">
        <v>1.0</v>
      </c>
      <c r="V7" s="28">
        <v>1.0</v>
      </c>
      <c r="W7" s="28">
        <v>1.0</v>
      </c>
      <c r="X7" s="28">
        <v>1.0</v>
      </c>
      <c r="Y7" s="30">
        <v>1.0</v>
      </c>
      <c r="Z7" s="30">
        <v>1.0</v>
      </c>
      <c r="AA7" s="30">
        <v>1.0</v>
      </c>
      <c r="AB7" s="30">
        <v>1.0</v>
      </c>
      <c r="AC7" s="32"/>
      <c r="AD7" s="32"/>
      <c r="AE7" s="32"/>
      <c r="AF7" s="32"/>
    </row>
    <row r="8" ht="19.5" customHeight="1">
      <c r="A8" s="25" t="s">
        <v>27</v>
      </c>
      <c r="B8" s="33" t="s">
        <v>19</v>
      </c>
      <c r="C8" s="34">
        <v>1.0</v>
      </c>
      <c r="D8" s="34">
        <v>1.0</v>
      </c>
      <c r="E8" s="34">
        <v>1.0</v>
      </c>
      <c r="F8" s="34">
        <v>1.0</v>
      </c>
      <c r="G8" s="34">
        <v>1.0</v>
      </c>
      <c r="H8" s="34">
        <v>1.0</v>
      </c>
      <c r="I8" s="35"/>
      <c r="J8" s="28">
        <v>1.0</v>
      </c>
      <c r="K8" s="28">
        <v>1.0</v>
      </c>
      <c r="L8" s="28">
        <v>1.0</v>
      </c>
      <c r="M8" s="28">
        <v>1.0</v>
      </c>
      <c r="N8" s="36"/>
      <c r="O8" s="36"/>
      <c r="P8" s="36"/>
      <c r="Q8" s="28">
        <v>1.0</v>
      </c>
      <c r="R8" s="30">
        <v>1.0</v>
      </c>
      <c r="S8" s="30">
        <v>1.0</v>
      </c>
      <c r="T8" s="30">
        <v>1.0</v>
      </c>
      <c r="U8" s="30">
        <v>1.0</v>
      </c>
      <c r="V8" s="30">
        <v>1.0</v>
      </c>
      <c r="W8" s="30">
        <v>1.0</v>
      </c>
      <c r="X8" s="30">
        <v>1.0</v>
      </c>
      <c r="Y8" s="28">
        <v>1.0</v>
      </c>
      <c r="Z8" s="28">
        <v>1.0</v>
      </c>
      <c r="AA8" s="28">
        <v>1.0</v>
      </c>
      <c r="AB8" s="28">
        <v>1.0</v>
      </c>
      <c r="AC8" s="28">
        <v>1.0</v>
      </c>
      <c r="AD8" s="28">
        <v>1.0</v>
      </c>
      <c r="AE8" s="28">
        <v>1.0</v>
      </c>
      <c r="AF8" s="28">
        <v>1.0</v>
      </c>
    </row>
    <row r="9" ht="19.5" customHeight="1">
      <c r="A9" s="21" t="s">
        <v>31</v>
      </c>
      <c r="B9" s="37" t="s">
        <v>32</v>
      </c>
      <c r="C9" s="38">
        <v>1.0</v>
      </c>
      <c r="D9" s="38">
        <v>1.0</v>
      </c>
      <c r="E9" s="38">
        <v>1.0</v>
      </c>
      <c r="F9" s="28">
        <v>1.0</v>
      </c>
      <c r="G9" s="28">
        <v>1.0</v>
      </c>
      <c r="H9" s="28">
        <v>1.0</v>
      </c>
      <c r="I9" s="28">
        <v>1.0</v>
      </c>
      <c r="J9" s="38">
        <v>1.0</v>
      </c>
      <c r="K9" s="38">
        <v>1.0</v>
      </c>
      <c r="L9" s="38">
        <v>1.0</v>
      </c>
      <c r="M9" s="28">
        <v>1.0</v>
      </c>
      <c r="N9" s="28">
        <v>1.0</v>
      </c>
      <c r="O9" s="28">
        <v>1.0</v>
      </c>
      <c r="P9" s="28">
        <v>1.0</v>
      </c>
      <c r="Q9" s="38">
        <v>1.0</v>
      </c>
      <c r="R9" s="38">
        <v>1.0</v>
      </c>
      <c r="S9" s="38">
        <v>1.0</v>
      </c>
      <c r="T9" s="28">
        <v>1.0</v>
      </c>
      <c r="U9" s="28">
        <v>1.0</v>
      </c>
      <c r="V9" s="28">
        <v>1.0</v>
      </c>
      <c r="W9" s="28">
        <v>1.0</v>
      </c>
      <c r="X9" s="38">
        <v>1.0</v>
      </c>
      <c r="Y9" s="38">
        <v>1.0</v>
      </c>
      <c r="Z9" s="38">
        <v>1.0</v>
      </c>
      <c r="AA9" s="28">
        <v>1.0</v>
      </c>
      <c r="AB9" s="28">
        <v>1.0</v>
      </c>
      <c r="AC9" s="28">
        <v>1.0</v>
      </c>
      <c r="AD9" s="28">
        <v>1.0</v>
      </c>
      <c r="AE9" s="28">
        <v>1.0</v>
      </c>
      <c r="AF9" s="28">
        <v>1.0</v>
      </c>
    </row>
    <row r="10" ht="19.5" customHeight="1">
      <c r="A10" s="25" t="s">
        <v>36</v>
      </c>
      <c r="B10" s="37" t="s">
        <v>32</v>
      </c>
      <c r="C10" s="28">
        <v>1.0</v>
      </c>
      <c r="D10" s="28">
        <v>1.0</v>
      </c>
      <c r="E10" s="28">
        <v>1.0</v>
      </c>
      <c r="F10" s="28">
        <v>1.0</v>
      </c>
      <c r="G10" s="38">
        <v>1.0</v>
      </c>
      <c r="H10" s="38">
        <v>1.0</v>
      </c>
      <c r="I10" s="38">
        <v>1.0</v>
      </c>
      <c r="J10" s="28">
        <v>1.0</v>
      </c>
      <c r="K10" s="28">
        <v>1.0</v>
      </c>
      <c r="L10" s="28">
        <v>1.0</v>
      </c>
      <c r="M10" s="28">
        <v>1.0</v>
      </c>
      <c r="N10" s="38">
        <v>1.0</v>
      </c>
      <c r="O10" s="38">
        <v>1.0</v>
      </c>
      <c r="P10" s="38">
        <v>1.0</v>
      </c>
      <c r="Q10" s="28">
        <v>1.0</v>
      </c>
      <c r="R10" s="28">
        <v>1.0</v>
      </c>
      <c r="S10" s="28">
        <v>1.0</v>
      </c>
      <c r="T10" s="28">
        <v>1.0</v>
      </c>
      <c r="U10" s="38">
        <v>1.0</v>
      </c>
      <c r="V10" s="38">
        <v>1.0</v>
      </c>
      <c r="W10" s="38">
        <v>1.0</v>
      </c>
      <c r="X10" s="28">
        <v>1.0</v>
      </c>
      <c r="Y10" s="28">
        <v>1.0</v>
      </c>
      <c r="Z10" s="28">
        <v>1.0</v>
      </c>
      <c r="AA10" s="28">
        <v>1.0</v>
      </c>
      <c r="AB10" s="38">
        <v>1.0</v>
      </c>
      <c r="AC10" s="38">
        <v>1.0</v>
      </c>
      <c r="AD10" s="38">
        <v>1.0</v>
      </c>
      <c r="AE10" s="28">
        <v>1.0</v>
      </c>
      <c r="AF10" s="28">
        <v>1.0</v>
      </c>
    </row>
    <row r="11" ht="19.5" customHeight="1">
      <c r="A11" s="21" t="s">
        <v>39</v>
      </c>
      <c r="B11" s="39" t="s">
        <v>2</v>
      </c>
      <c r="C11" s="28">
        <v>1.0</v>
      </c>
      <c r="D11" s="28">
        <v>1.0</v>
      </c>
      <c r="E11" s="28">
        <v>1.0</v>
      </c>
      <c r="F11" s="28">
        <v>1.0</v>
      </c>
      <c r="G11" s="28">
        <v>1.0</v>
      </c>
      <c r="H11" s="40"/>
      <c r="I11" s="41">
        <v>1.0</v>
      </c>
      <c r="J11" s="28">
        <v>1.0</v>
      </c>
      <c r="K11" s="28">
        <v>1.0</v>
      </c>
      <c r="L11" s="28">
        <v>1.0</v>
      </c>
      <c r="M11" s="28">
        <v>1.0</v>
      </c>
      <c r="N11" s="28">
        <v>1.0</v>
      </c>
      <c r="O11" s="40"/>
      <c r="P11" s="41">
        <v>1.0</v>
      </c>
      <c r="Q11" s="28">
        <v>1.0</v>
      </c>
      <c r="R11" s="28">
        <v>1.0</v>
      </c>
      <c r="S11" s="28">
        <v>1.0</v>
      </c>
      <c r="T11" s="28">
        <v>1.0</v>
      </c>
      <c r="U11" s="32"/>
      <c r="V11" s="40"/>
      <c r="W11" s="41">
        <v>1.0</v>
      </c>
      <c r="X11" s="28">
        <v>1.0</v>
      </c>
      <c r="Y11" s="28">
        <v>1.0</v>
      </c>
      <c r="Z11" s="28">
        <v>1.0</v>
      </c>
      <c r="AA11" s="28">
        <v>1.0</v>
      </c>
      <c r="AB11" s="32"/>
      <c r="AC11" s="40"/>
      <c r="AD11" s="41">
        <v>1.0</v>
      </c>
      <c r="AE11" s="28">
        <v>1.0</v>
      </c>
      <c r="AF11" s="28">
        <v>1.0</v>
      </c>
    </row>
    <row r="13">
      <c r="A13" s="42" t="s">
        <v>74</v>
      </c>
    </row>
    <row r="14">
      <c r="A14" s="43" t="s">
        <v>75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1:AF1"/>
    <mergeCell ref="A2:AF2"/>
    <mergeCell ref="A13:H13"/>
    <mergeCell ref="A14:L14"/>
  </mergeCells>
  <printOptions/>
  <pageMargins bottom="1.0" footer="0.0" header="0.0" left="0.75" right="0.75" top="1.0"/>
  <pageSetup paperSize="9" orientation="portrait"/>
  <drawing r:id="rId1"/>
</worksheet>
</file>